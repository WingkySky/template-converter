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635" windowHeight="7575"/>
  </bookViews>
  <sheets>
    <sheet sheetId="3" name="费用明细 (梧桐苑5月)" state="visible" r:id="rId4"/>
  </sheets>
  <definedNames>
    <definedName name="_xlnm._FilterDatabase">'费用明细 (绵花棠5月)'!$A$12:$AA$23</definedName>
  </definedNames>
  <calcPr calcId="171027"/>
</workbook>
</file>

<file path=xl/sharedStrings.xml><?xml version="1.0" encoding="utf-8"?>
<sst xmlns="http://schemas.openxmlformats.org/spreadsheetml/2006/main" count="122" uniqueCount="87">
  <si>
    <t>客户名称：</t>
  </si>
  <si>
    <t>统一信用代码</t>
  </si>
  <si>
    <t>开户行账号</t>
  </si>
  <si>
    <t>03770000040999999</t>
  </si>
  <si>
    <t>开户行</t>
  </si>
  <si>
    <t>农业银行示例支行</t>
  </si>
  <si>
    <t>发票项目</t>
  </si>
  <si>
    <t>现代服务*推广服务费</t>
  </si>
  <si>
    <t>专票/普票</t>
  </si>
  <si>
    <t>专票</t>
  </si>
  <si>
    <t>业务类型</t>
  </si>
  <si>
    <t>服务费率</t>
  </si>
  <si>
    <t>月份</t>
  </si>
  <si>
    <t>客户支付合计</t>
  </si>
  <si>
    <t>平台服务费</t>
  </si>
  <si>
    <t>税前收入</t>
  </si>
  <si>
    <t>个税</t>
  </si>
  <si>
    <t>实发金额</t>
  </si>
  <si>
    <t>核对</t>
  </si>
  <si>
    <t>备注</t>
  </si>
  <si>
    <t>灵活用工</t>
  </si>
  <si>
    <t>12月</t>
  </si>
  <si>
    <t>序号</t>
  </si>
  <si>
    <t>户名</t>
  </si>
  <si>
    <t>性别</t>
  </si>
  <si>
    <t>身份证号码</t>
  </si>
  <si>
    <t>手机号码</t>
  </si>
  <si>
    <t>开户地</t>
  </si>
  <si>
    <t>账号</t>
  </si>
  <si>
    <t>计划发放收入</t>
  </si>
  <si>
    <t>发放方式独立选择</t>
  </si>
  <si>
    <t>税源地</t>
  </si>
  <si>
    <t>免税收入</t>
  </si>
  <si>
    <t>减除费用</t>
  </si>
  <si>
    <t>预扣预缴应纳税所得额</t>
  </si>
  <si>
    <t>个税核定代征税率</t>
  </si>
  <si>
    <t>速算扣除数</t>
  </si>
  <si>
    <t>需交个税</t>
  </si>
  <si>
    <t>本次实发金额</t>
  </si>
  <si>
    <t>服务费</t>
  </si>
  <si>
    <t>合计</t>
  </si>
  <si>
    <t>张启明</t>
  </si>
  <si>
    <t>女</t>
  </si>
  <si>
    <t>362326197210267287</t>
  </si>
  <si>
    <t>义乌</t>
  </si>
  <si>
    <t>6228430000000009231</t>
  </si>
  <si>
    <t>公司承担服务费</t>
  </si>
  <si>
    <t xml:space="preserve"> 天津</t>
  </si>
  <si>
    <t>周建国</t>
  </si>
  <si>
    <t>362326198903049041</t>
  </si>
  <si>
    <t>上饶</t>
  </si>
  <si>
    <t>623052000000003484</t>
  </si>
  <si>
    <t>刘雅静</t>
  </si>
  <si>
    <t>330682197411132741</t>
  </si>
  <si>
    <t>农业银行</t>
  </si>
  <si>
    <t>6228480000000007396</t>
  </si>
  <si>
    <t>胡建军</t>
  </si>
  <si>
    <t>330622199704069080</t>
  </si>
  <si>
    <t>工商银行示例支行</t>
  </si>
  <si>
    <t>绍兴</t>
  </si>
  <si>
    <t>6217210000000003388</t>
  </si>
  <si>
    <t>林秀英</t>
  </si>
  <si>
    <t>150122199606195381</t>
  </si>
  <si>
    <t>中国银行</t>
  </si>
  <si>
    <t xml:space="preserve">6217568400055607246 </t>
  </si>
  <si>
    <t>黄丽娟</t>
  </si>
  <si>
    <t>360732199406193466</t>
  </si>
  <si>
    <t>工商银行</t>
  </si>
  <si>
    <t>6217210000000000564</t>
  </si>
  <si>
    <t>赵文博</t>
  </si>
  <si>
    <t>4307021991021366104</t>
  </si>
  <si>
    <t>6222030000000009420</t>
  </si>
  <si>
    <t>男</t>
  </si>
  <si>
    <t>422224197907261051</t>
  </si>
  <si>
    <t>中国邮政储蓄银行示例支行</t>
  </si>
  <si>
    <t>湖北</t>
  </si>
  <si>
    <t>6221880000000007168</t>
  </si>
  <si>
    <t>500235197701145749</t>
  </si>
  <si>
    <t>重庆</t>
  </si>
  <si>
    <t>6228480000000001767</t>
  </si>
  <si>
    <t>659001198606179394</t>
  </si>
  <si>
    <t>招商银行示例支行</t>
  </si>
  <si>
    <t>上海</t>
  </si>
  <si>
    <t>6214830000009778</t>
  </si>
  <si>
    <t>罗玉梅</t>
  </si>
  <si>
    <t>身边云平台费率5.6%</t>
  </si>
  <si>
    <t>合计支付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</si>
</sst>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, mmmm dd, yyyy"/>
    <numFmt numFmtId="165" formatCode="_ * #,##0.00_ ;_ * -#,##0.00_ ;_ * &quot;-&quot;??_ ;_ @_ "/>
    <numFmt numFmtId="166" formatCode="0.00_ "/>
  </numFmts>
  <fonts count="12" x14ac:knownFonts="1">
    <font>
      <color theme="1"/>
      <family val="2"/>
      <scheme val="minor"/>
      <sz val="11"/>
      <name val="Calibri"/>
    </font>
    <font>
      <charset val="134"/>
      <color theme="1"/>
      <sz val="11"/>
      <name val="微软雅黑"/>
    </font>
    <font>
      <b/>
      <charset val="134"/>
      <color theme="1"/>
      <sz val="11"/>
      <name val="微软雅黑"/>
    </font>
    <font>
      <charset val="134"/>
      <color theme="1"/>
      <scheme val="minor"/>
      <sz val="14"/>
      <name val="宋体"/>
    </font>
    <font>
      <b/>
      <charset val="134"/>
      <color rgb="FFFF0000"/>
      <sz val="11"/>
      <name val="微软雅黑"/>
    </font>
    <font>
      <charset val="134"/>
      <sz val="11"/>
      <name val="微软雅黑"/>
    </font>
    <font>
      <charset val="134"/>
      <color theme="1"/>
      <scheme val="minor"/>
      <sz val="12"/>
      <name val="宋体"/>
    </font>
    <font>
      <charset val="134"/>
      <scheme val="minor"/>
      <sz val="11"/>
      <name val="宋体"/>
    </font>
    <font>
      <charset val="134"/>
      <sz val="11"/>
      <name val="Microsoft YaHei Light"/>
    </font>
    <font>
      <charset val="134"/>
      <sz val="11"/>
      <name val="宋体"/>
    </font>
    <font>
      <charset val="134"/>
      <sz val="12"/>
      <name val="微软雅黑"/>
    </font>
    <font>
      <charset val="134"/>
      <scheme val="minor"/>
      <sz val="12"/>
      <name val="宋体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20651875362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0" fontId="2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65" fontId="10" fillId="0" borderId="1" xfId="0" applyNumberFormat="1" applyFont="1" applyBorder="1" applyAlignment="1">
      <alignment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49" fontId="8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right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4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5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</xdr:colOff>
      <xdr:row>25</xdr:row>
      <xdr:rowOff>3810</xdr:rowOff>
    </xdr:from>
    <xdr:to>
      <xdr:col>7</xdr:col>
      <xdr:colOff>179070</xdr:colOff>
      <xdr:row>46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Views>
    <sheetView workbookViewId="0" zoomScale="70" zoomScaleNormal="70">
      <pane xSplit="6" ySplit="12" topLeftCell="H21" activePane="bottomRight" state="frozen"/>
      <selection pane="bottomRight" activeCell="J2" sqref="J2"/>
    </sheetView>
  </sheetViews>
  <sheetFormatPr defaultRowHeight="16.5" outlineLevelRow="0" outlineLevelCol="0" x14ac:dyDescent="0" defaultColWidth="9.90833333333333" customHeight="1"/>
  <cols>
    <col min="1" max="1" width="6.08333333333333" style="1" customWidth="1"/>
    <col min="2" max="2" width="13.8583333333333" style="1" customWidth="1"/>
    <col min="3" max="3" width="10.4416666666667" style="1" customWidth="1"/>
    <col min="4" max="4" width="23" style="1" customWidth="1"/>
    <col min="5" max="5" width="17.1083333333333" style="1" customWidth="1"/>
    <col min="6" max="6" width="42.6916666666667" style="1" customWidth="1"/>
    <col min="7" max="7" width="23.1083333333333" style="1" customWidth="1"/>
    <col min="8" max="8" width="30.6666666666667" style="1" customWidth="1"/>
    <col min="9" max="9" width="18.8166666666667" style="1" customWidth="1"/>
    <col min="10" max="10" width="18.6666666666667" style="1" customWidth="1"/>
    <col min="11" max="11" width="17.1333333333333" style="1" customWidth="1"/>
    <col min="12" max="12" width="9.2" style="1" customWidth="1"/>
    <col min="13" max="13" width="14.1333333333333" style="1" customWidth="1"/>
    <col min="14" max="14" width="12.0333333333333" style="1" customWidth="1"/>
    <col min="15" max="15" width="20.775" style="1" customWidth="1"/>
    <col min="16" max="16" width="10.25" style="1" customWidth="1"/>
    <col min="17" max="17" width="11.95" style="1" customWidth="1"/>
    <col min="18" max="18" width="14.2583333333333" style="1" customWidth="1"/>
    <col min="19" max="19" width="13.825" style="1" customWidth="1"/>
    <col min="20" max="20" width="16.025" style="1" customWidth="1"/>
    <col min="21" max="21" width="14.2583333333333" style="1" customWidth="1"/>
    <col min="22" max="22" width="19.9916666666667" style="1" customWidth="1"/>
    <col min="23" max="25" width="11.5583333333333" style="1" customWidth="1"/>
    <col min="26" max="27" width="21.2166666666667" style="1" customWidth="1"/>
    <col min="28" max="16369" width="9" style="1" customWidth="1"/>
    <col min="16370" max="16384" width="9.90833333333333" style="1" customWidth="1"/>
  </cols>
  <sheetData>
    <row r="1" ht="31" customHeight="1" spans="1:11" x14ac:dyDescent="0.25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</row>
    <row r="2" ht="31" customHeight="1" spans="1:11" x14ac:dyDescent="0.25">
      <c r="A2" s="1"/>
      <c r="B2" s="2" t="s">
        <v>1</v>
      </c>
      <c r="C2" s="3"/>
      <c r="D2" s="3"/>
      <c r="E2" s="3"/>
      <c r="F2" s="3"/>
      <c r="G2" s="3"/>
      <c r="H2" s="3"/>
      <c r="I2" s="1"/>
      <c r="J2" s="1"/>
      <c r="K2" s="1"/>
    </row>
    <row r="3" ht="31" customHeight="1" spans="1:11" x14ac:dyDescent="0.25">
      <c r="A3" s="1"/>
      <c r="B3" s="2" t="s">
        <v>2</v>
      </c>
      <c r="C3" s="3" t="s">
        <v>3</v>
      </c>
      <c r="D3" s="3"/>
      <c r="E3" s="3"/>
      <c r="F3" s="3"/>
      <c r="G3" s="3"/>
      <c r="H3" s="3"/>
      <c r="I3" s="1"/>
      <c r="J3" s="1"/>
      <c r="K3" s="1"/>
    </row>
    <row r="4" ht="31" customHeight="1" spans="1:11" x14ac:dyDescent="0.25">
      <c r="A4" s="1"/>
      <c r="B4" s="2" t="s">
        <v>4</v>
      </c>
      <c r="C4" s="3" t="s">
        <v>5</v>
      </c>
      <c r="D4" s="3"/>
      <c r="E4" s="3"/>
      <c r="F4" s="3"/>
      <c r="G4" s="3"/>
      <c r="H4" s="3"/>
      <c r="I4" s="1"/>
      <c r="J4" s="1"/>
      <c r="K4" s="1"/>
    </row>
    <row r="5" ht="31" customHeight="1" spans="1:11" x14ac:dyDescent="0.25">
      <c r="A5" s="1"/>
      <c r="B5" s="2" t="s">
        <v>6</v>
      </c>
      <c r="C5" s="3" t="s">
        <v>7</v>
      </c>
      <c r="D5" s="3"/>
      <c r="E5" s="3"/>
      <c r="F5" s="3"/>
      <c r="G5" s="3"/>
      <c r="H5" s="3"/>
      <c r="I5" s="1"/>
      <c r="J5" s="1"/>
      <c r="K5" s="1"/>
    </row>
    <row r="6" ht="31" customHeight="1" spans="1:11" x14ac:dyDescent="0.25">
      <c r="A6" s="1"/>
      <c r="B6" s="2" t="s">
        <v>8</v>
      </c>
      <c r="C6" s="3" t="s">
        <v>9</v>
      </c>
      <c r="D6" s="3"/>
      <c r="E6" s="3"/>
      <c r="F6" s="3"/>
      <c r="G6" s="3"/>
      <c r="H6" s="3"/>
      <c r="I6" s="1"/>
      <c r="J6" s="1"/>
      <c r="K6" s="1"/>
    </row>
    <row r="7" ht="31" customHeight="1" spans="1:11" x14ac:dyDescent="0.25">
      <c r="A7" s="1"/>
      <c r="B7" s="4" t="s">
        <v>10</v>
      </c>
      <c r="C7" s="5" t="s">
        <v>11</v>
      </c>
      <c r="D7" s="4" t="s">
        <v>12</v>
      </c>
      <c r="E7" s="4" t="s">
        <v>13</v>
      </c>
      <c r="F7" s="6" t="s">
        <v>14</v>
      </c>
      <c r="G7" s="7" t="s">
        <v>15</v>
      </c>
      <c r="H7" s="4" t="s">
        <v>16</v>
      </c>
      <c r="I7" s="4" t="s">
        <v>17</v>
      </c>
      <c r="J7" s="4" t="s">
        <v>18</v>
      </c>
      <c r="K7" s="4" t="s">
        <v>19</v>
      </c>
    </row>
    <row r="8" ht="31" customHeight="1" spans="1:11" x14ac:dyDescent="0.25">
      <c r="A8" s="1"/>
      <c r="B8" s="8" t="s">
        <v>20</v>
      </c>
      <c r="C8" s="9">
        <v>0.07</v>
      </c>
      <c r="D8" s="8" t="s">
        <v>21</v>
      </c>
      <c r="E8" s="8">
        <f>ROUND(SUM(F8,H8,I8),2)</f>
        <v>279772.65</v>
      </c>
      <c r="F8" s="8">
        <f>T23</f>
        <v>20723.9</v>
      </c>
      <c r="G8" s="8">
        <f>K23</f>
        <v>259048.75</v>
      </c>
      <c r="H8" s="8">
        <f>R23</f>
        <v>6197.41</v>
      </c>
      <c r="I8" s="8">
        <f>S23</f>
        <v>252851.34</v>
      </c>
      <c r="J8" s="10" t="b">
        <f>IF(E8-U23=0,TRUE,FALSE)</f>
        <v>1</v>
      </c>
      <c r="K8" s="8"/>
    </row>
    <row r="9" spans="4:14" x14ac:dyDescent="0.25">
      <c r="D9" s="1"/>
      <c r="E9" s="1"/>
      <c r="H9" s="1"/>
      <c r="M9" s="1"/>
      <c r="N9" s="1"/>
    </row>
    <row r="10" spans="4:4" x14ac:dyDescent="0.25">
      <c r="D10" s="1"/>
    </row>
    <row r="11" spans="1:21" s="1" customFormat="1" x14ac:dyDescent="0.25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4</v>
      </c>
      <c r="G11" s="11" t="s">
        <v>27</v>
      </c>
      <c r="H11" s="11" t="s">
        <v>28</v>
      </c>
      <c r="I11" s="12" t="s">
        <v>29</v>
      </c>
      <c r="J11" s="12" t="s">
        <v>30</v>
      </c>
      <c r="K11" s="13" t="s">
        <v>15</v>
      </c>
      <c r="L11" s="14" t="s">
        <v>31</v>
      </c>
      <c r="M11" s="15" t="s">
        <v>32</v>
      </c>
      <c r="N11" s="15" t="s">
        <v>33</v>
      </c>
      <c r="O11" s="16" t="s">
        <v>34</v>
      </c>
      <c r="P11" s="16" t="s">
        <v>35</v>
      </c>
      <c r="Q11" s="16" t="s">
        <v>36</v>
      </c>
      <c r="R11" s="17" t="s">
        <v>37</v>
      </c>
      <c r="S11" s="18" t="s">
        <v>38</v>
      </c>
      <c r="T11" s="19" t="s">
        <v>39</v>
      </c>
      <c r="U11" s="20" t="s">
        <v>40</v>
      </c>
    </row>
    <row r="12" spans="1:21" s="1" customFormat="1" x14ac:dyDescent="0.25">
      <c r="A12" s="21"/>
      <c r="B12" s="21"/>
      <c r="C12" s="21"/>
      <c r="D12" s="21"/>
      <c r="E12" s="21"/>
      <c r="F12" s="21"/>
      <c r="G12" s="21"/>
      <c r="H12" s="21"/>
      <c r="I12" s="22"/>
      <c r="J12" s="22"/>
      <c r="K12" s="23"/>
      <c r="L12" s="24"/>
      <c r="M12" s="15"/>
      <c r="N12" s="15"/>
      <c r="O12" s="16"/>
      <c r="P12" s="16"/>
      <c r="Q12" s="16"/>
      <c r="R12" s="17"/>
      <c r="S12" s="18"/>
      <c r="T12" s="25">
        <f>C8</f>
        <v>0.07</v>
      </c>
      <c r="U12" s="20"/>
    </row>
    <row r="13" ht="17.25" customHeight="1" spans="1:27" s="26" customFormat="1" x14ac:dyDescent="0.25">
      <c r="A13" s="27">
        <v>1</v>
      </c>
      <c r="B13" s="28" t="s">
        <v>41</v>
      </c>
      <c r="C13" s="29" t="s">
        <v>42</v>
      </c>
      <c r="D13" s="30" t="s">
        <v>43</v>
      </c>
      <c r="E13" s="30">
        <v>13800138495</v>
      </c>
      <c r="F13" s="31" t="s">
        <v>5</v>
      </c>
      <c r="G13" s="28" t="s">
        <v>44</v>
      </c>
      <c r="H13" s="32" t="s">
        <v>45</v>
      </c>
      <c r="I13" s="33">
        <v>20338.12</v>
      </c>
      <c r="J13" s="27" t="s">
        <v>46</v>
      </c>
      <c r="K13" s="34">
        <v>20338.12</v>
      </c>
      <c r="L13" s="27" t="s">
        <v>47</v>
      </c>
      <c r="M13" s="35">
        <f t="shared" ref="M13:M22" si="0">ROUND(K13*20%,2)</f>
        <v>4067.62</v>
      </c>
      <c r="N13" s="35">
        <v>5000</v>
      </c>
      <c r="O13" s="35">
        <f t="shared" ref="O13:O25" si="1">K13-M13-N13</f>
        <v>11270.5</v>
      </c>
      <c r="P13" s="36">
        <f t="shared" ref="P13:P22" si="2">IF(AND(O13&lt;=36000,O13&gt;0),3%,IF(AND(O13&lt;=144000,O13&gt;36000),10%,IF(AND(O13&lt;=300000,O13&gt;144000),20%,IF(AND(O13&lt;=420000,O13&gt;300000),25%,IF(AND(O13&lt;=660000,O13&gt;420000),30%,IF(AND(O13&lt;=960000,O13&gt;660000),35%,IF(AND(O13&gt;960000),45%,0)))))))</f>
        <v>0.03</v>
      </c>
      <c r="Q13" s="36">
        <f t="shared" ref="Q13:Q22" si="3">IF(AND(O13&lt;=36000,O13&gt;0),0,IF(AND(O13&lt;=144000,O13&gt;36000),2520,IF(AND(O13&lt;=300000,O13&gt;144000),16920,IF(AND(O13&lt;=420000,O13&gt;300000),31920,IF(AND(O13&lt;=660000,O13&gt;420000),52920,IF(AND(O13&lt;=960000,O13&gt;660000),85920,IF(AND(O13&gt;960000),181920,0)))))))</f>
        <v>0</v>
      </c>
      <c r="R13" s="36">
        <f t="shared" ref="R13:R22" si="4">ROUND(O13*P13-Q13,2)</f>
        <v>338.12</v>
      </c>
      <c r="S13" s="37">
        <f t="shared" ref="S13:S22" si="5">K13-R13</f>
        <v>20000</v>
      </c>
      <c r="T13" s="35">
        <f t="shared" ref="T13:T22" si="6">IFERROR(ROUND(K13*$T$12,2),"")</f>
        <v>1627.05</v>
      </c>
      <c r="U13" s="35">
        <f t="shared" ref="U13:U22" si="7">IFERROR(R13+S13+T13,"")</f>
        <v>21965.17</v>
      </c>
      <c r="V13" s="1"/>
      <c r="W13" s="1"/>
      <c r="X13" s="1"/>
      <c r="Y13" s="1"/>
      <c r="Z13" s="1"/>
      <c r="AA13" s="1"/>
    </row>
    <row r="14" ht="17.25" customHeight="1" spans="1:25" s="26" customFormat="1" x14ac:dyDescent="0.25">
      <c r="A14" s="27">
        <v>2</v>
      </c>
      <c r="B14" s="38" t="s">
        <v>48</v>
      </c>
      <c r="C14" s="29" t="s">
        <v>42</v>
      </c>
      <c r="D14" s="30" t="s">
        <v>49</v>
      </c>
      <c r="E14" s="30">
        <v>13800138275</v>
      </c>
      <c r="F14" s="31" t="s">
        <v>5</v>
      </c>
      <c r="G14" s="38" t="s">
        <v>50</v>
      </c>
      <c r="H14" s="32" t="s">
        <v>51</v>
      </c>
      <c r="I14" s="33">
        <v>20338.12</v>
      </c>
      <c r="J14" s="27" t="s">
        <v>46</v>
      </c>
      <c r="K14" s="34">
        <v>20338.12</v>
      </c>
      <c r="L14" s="27" t="s">
        <v>47</v>
      </c>
      <c r="M14" s="35">
        <f t="shared" si="0"/>
        <v>4067.62</v>
      </c>
      <c r="N14" s="35">
        <v>5000</v>
      </c>
      <c r="O14" s="35">
        <f t="shared" si="1"/>
        <v>11270.5</v>
      </c>
      <c r="P14" s="36">
        <f t="shared" si="2"/>
        <v>0.03</v>
      </c>
      <c r="Q14" s="36">
        <f t="shared" si="3"/>
        <v>0</v>
      </c>
      <c r="R14" s="36">
        <f t="shared" si="4"/>
        <v>338.12</v>
      </c>
      <c r="S14" s="37">
        <f t="shared" si="5"/>
        <v>20000</v>
      </c>
      <c r="T14" s="35">
        <f t="shared" si="6"/>
        <v>1627.05</v>
      </c>
      <c r="U14" s="35">
        <f t="shared" si="7"/>
        <v>21965.17</v>
      </c>
      <c r="V14" s="1"/>
      <c r="W14" s="1"/>
      <c r="X14" s="1"/>
      <c r="Y14" s="1"/>
    </row>
    <row r="15" ht="17.25" customHeight="1" spans="1:25" s="26" customFormat="1" x14ac:dyDescent="0.25">
      <c r="A15" s="27"/>
      <c r="B15" s="38" t="s">
        <v>52</v>
      </c>
      <c r="C15" s="29" t="s">
        <v>42</v>
      </c>
      <c r="D15" s="30" t="s">
        <v>53</v>
      </c>
      <c r="E15" s="30">
        <v>13800138932</v>
      </c>
      <c r="F15" s="31" t="s">
        <v>54</v>
      </c>
      <c r="G15" s="38"/>
      <c r="H15" s="32" t="s">
        <v>55</v>
      </c>
      <c r="I15" s="33">
        <v>19918.03</v>
      </c>
      <c r="J15" s="27" t="s">
        <v>46</v>
      </c>
      <c r="K15" s="34">
        <v>19918.03</v>
      </c>
      <c r="L15" s="27" t="s">
        <v>47</v>
      </c>
      <c r="M15" s="35">
        <f t="shared" si="0"/>
        <v>3983.61</v>
      </c>
      <c r="N15" s="35">
        <v>5000</v>
      </c>
      <c r="O15" s="35">
        <f t="shared" si="1"/>
        <v>10934.42</v>
      </c>
      <c r="P15" s="36">
        <f t="shared" si="2"/>
        <v>0.03</v>
      </c>
      <c r="Q15" s="36">
        <f t="shared" si="3"/>
        <v>0</v>
      </c>
      <c r="R15" s="36">
        <f t="shared" si="4"/>
        <v>328.03</v>
      </c>
      <c r="S15" s="37">
        <f t="shared" si="5"/>
        <v>19590</v>
      </c>
      <c r="T15" s="35">
        <f t="shared" si="6"/>
        <v>1593.44</v>
      </c>
      <c r="U15" s="35">
        <f t="shared" si="7"/>
        <v>21511.47</v>
      </c>
      <c r="V15" s="1"/>
      <c r="W15" s="1"/>
      <c r="X15" s="1"/>
      <c r="Y15" s="1"/>
    </row>
    <row r="16" ht="17.25" customHeight="1" spans="1:25" s="26" customFormat="1" x14ac:dyDescent="0.25">
      <c r="A16" s="27">
        <v>3</v>
      </c>
      <c r="B16" s="38" t="s">
        <v>56</v>
      </c>
      <c r="C16" s="29" t="s">
        <v>42</v>
      </c>
      <c r="D16" s="30" t="s">
        <v>57</v>
      </c>
      <c r="E16" s="30">
        <v>13800138768</v>
      </c>
      <c r="F16" s="31" t="s">
        <v>58</v>
      </c>
      <c r="G16" s="38" t="s">
        <v>59</v>
      </c>
      <c r="H16" s="32" t="s">
        <v>60</v>
      </c>
      <c r="I16" s="33">
        <v>15932.37</v>
      </c>
      <c r="J16" s="27" t="s">
        <v>46</v>
      </c>
      <c r="K16" s="34">
        <v>15932.37</v>
      </c>
      <c r="L16" s="27" t="s">
        <v>47</v>
      </c>
      <c r="M16" s="35">
        <f t="shared" si="0"/>
        <v>3186.47</v>
      </c>
      <c r="N16" s="35">
        <v>5000</v>
      </c>
      <c r="O16" s="35">
        <f t="shared" si="1"/>
        <v>7745.9</v>
      </c>
      <c r="P16" s="36">
        <f t="shared" si="2"/>
        <v>0.03</v>
      </c>
      <c r="Q16" s="36">
        <f t="shared" si="3"/>
        <v>0</v>
      </c>
      <c r="R16" s="36">
        <f t="shared" si="4"/>
        <v>232.38</v>
      </c>
      <c r="S16" s="37">
        <f t="shared" si="5"/>
        <v>15699.99</v>
      </c>
      <c r="T16" s="35">
        <f t="shared" si="6"/>
        <v>1274.59</v>
      </c>
      <c r="U16" s="35">
        <f t="shared" si="7"/>
        <v>17206.96</v>
      </c>
      <c r="V16" s="1"/>
      <c r="W16" s="1"/>
      <c r="X16" s="1"/>
      <c r="Y16" s="1"/>
    </row>
    <row r="17" ht="17.25" customHeight="1" spans="1:25" s="26" customFormat="1" x14ac:dyDescent="0.25">
      <c r="A17" s="27"/>
      <c r="B17" s="38" t="s">
        <v>61</v>
      </c>
      <c r="C17" s="29" t="s">
        <v>42</v>
      </c>
      <c r="D17" s="30" t="s">
        <v>62</v>
      </c>
      <c r="E17" s="30">
        <v>13800138193</v>
      </c>
      <c r="F17" s="31" t="s">
        <v>63</v>
      </c>
      <c r="G17" s="38"/>
      <c r="H17" s="32" t="s">
        <v>64</v>
      </c>
      <c r="I17" s="33">
        <v>5650</v>
      </c>
      <c r="J17" s="27" t="s">
        <v>46</v>
      </c>
      <c r="K17" s="34">
        <v>5650</v>
      </c>
      <c r="L17" s="27" t="s">
        <v>47</v>
      </c>
      <c r="M17" s="35">
        <f t="shared" si="0"/>
        <v>1130</v>
      </c>
      <c r="N17" s="35">
        <v>5000</v>
      </c>
      <c r="O17" s="35">
        <f t="shared" si="1"/>
        <v>-480</v>
      </c>
      <c r="P17" s="36">
        <f t="shared" si="2"/>
        <v>0</v>
      </c>
      <c r="Q17" s="36">
        <f t="shared" si="3"/>
        <v>0</v>
      </c>
      <c r="R17" s="36">
        <f t="shared" si="4"/>
        <v>0</v>
      </c>
      <c r="S17" s="37">
        <f t="shared" si="5"/>
        <v>5650</v>
      </c>
      <c r="T17" s="35">
        <f t="shared" si="6"/>
        <v>452</v>
      </c>
      <c r="U17" s="35">
        <f t="shared" si="7"/>
        <v>6102</v>
      </c>
      <c r="V17" s="1"/>
      <c r="W17" s="1"/>
      <c r="X17" s="1"/>
      <c r="Y17" s="1"/>
    </row>
    <row r="18" ht="17.25" customHeight="1" spans="1:25" s="26" customFormat="1" x14ac:dyDescent="0.25">
      <c r="A18" s="26"/>
      <c r="B18" s="38" t="s">
        <v>65</v>
      </c>
      <c r="C18" s="29" t="s">
        <v>42</v>
      </c>
      <c r="D18" s="30" t="s">
        <v>66</v>
      </c>
      <c r="E18" s="30">
        <v>13800138169</v>
      </c>
      <c r="F18" s="31" t="s">
        <v>67</v>
      </c>
      <c r="G18" s="27"/>
      <c r="H18" s="32" t="s">
        <v>68</v>
      </c>
      <c r="I18" s="33">
        <v>10655.74</v>
      </c>
      <c r="J18" s="27" t="s">
        <v>46</v>
      </c>
      <c r="K18" s="34">
        <v>10655.74</v>
      </c>
      <c r="L18" s="27" t="s">
        <v>47</v>
      </c>
      <c r="M18" s="35">
        <f t="shared" si="0"/>
        <v>2131.15</v>
      </c>
      <c r="N18" s="35">
        <v>5000</v>
      </c>
      <c r="O18" s="35">
        <f t="shared" si="1"/>
        <v>3524.59</v>
      </c>
      <c r="P18" s="36">
        <f t="shared" si="2"/>
        <v>0.03</v>
      </c>
      <c r="Q18" s="36">
        <f t="shared" si="3"/>
        <v>0</v>
      </c>
      <c r="R18" s="36">
        <f t="shared" si="4"/>
        <v>105.74</v>
      </c>
      <c r="S18" s="37">
        <f t="shared" si="5"/>
        <v>10550</v>
      </c>
      <c r="T18" s="35">
        <f t="shared" si="6"/>
        <v>852.46</v>
      </c>
      <c r="U18" s="35">
        <f t="shared" si="7"/>
        <v>11508.2</v>
      </c>
      <c r="V18" s="1"/>
      <c r="W18" s="1"/>
      <c r="X18" s="1"/>
      <c r="Y18" s="1"/>
    </row>
    <row r="19" ht="17.25" customHeight="1" spans="1:25" s="26" customFormat="1" x14ac:dyDescent="0.25">
      <c r="A19" s="27"/>
      <c r="B19" s="38" t="s">
        <v>69</v>
      </c>
      <c r="C19" s="29" t="s">
        <v>42</v>
      </c>
      <c r="D19" s="30" t="s">
        <v>70</v>
      </c>
      <c r="E19" s="30">
        <v>13800138687</v>
      </c>
      <c r="F19" s="31" t="s">
        <v>67</v>
      </c>
      <c r="G19" s="38"/>
      <c r="H19" s="39" t="s">
        <v>71</v>
      </c>
      <c r="I19" s="33">
        <v>17202.87</v>
      </c>
      <c r="J19" s="27" t="s">
        <v>46</v>
      </c>
      <c r="K19" s="34">
        <v>17202.87</v>
      </c>
      <c r="L19" s="27" t="s">
        <v>47</v>
      </c>
      <c r="M19" s="35">
        <f t="shared" si="0"/>
        <v>3440.57</v>
      </c>
      <c r="N19" s="35">
        <v>5000</v>
      </c>
      <c r="O19" s="35">
        <f t="shared" si="1"/>
        <v>8762.3</v>
      </c>
      <c r="P19" s="36">
        <f t="shared" si="2"/>
        <v>0.03</v>
      </c>
      <c r="Q19" s="36">
        <f t="shared" si="3"/>
        <v>0</v>
      </c>
      <c r="R19" s="36">
        <f t="shared" si="4"/>
        <v>262.87</v>
      </c>
      <c r="S19" s="37">
        <f t="shared" si="5"/>
        <v>16940</v>
      </c>
      <c r="T19" s="35">
        <f t="shared" si="6"/>
        <v>1376.23</v>
      </c>
      <c r="U19" s="35">
        <f t="shared" si="7"/>
        <v>18579.1</v>
      </c>
      <c r="V19" s="1"/>
      <c r="W19" s="1"/>
      <c r="X19" s="1"/>
      <c r="Y19" s="1"/>
    </row>
    <row r="20" ht="17.25" customHeight="1" spans="1:25" s="26" customFormat="1" x14ac:dyDescent="0.25">
      <c r="A20" s="27">
        <v>7</v>
      </c>
      <c r="B20" s="38" t="s">
        <v>41</v>
      </c>
      <c r="C20" s="29" t="s">
        <v>72</v>
      </c>
      <c r="D20" s="30" t="s">
        <v>73</v>
      </c>
      <c r="E20" s="30">
        <v>13800138398</v>
      </c>
      <c r="F20" s="31" t="s">
        <v>74</v>
      </c>
      <c r="G20" s="38" t="s">
        <v>75</v>
      </c>
      <c r="H20" s="32" t="s">
        <v>76</v>
      </c>
      <c r="I20" s="33">
        <v>20338.12</v>
      </c>
      <c r="J20" s="27" t="s">
        <v>46</v>
      </c>
      <c r="K20" s="34">
        <v>20338.12</v>
      </c>
      <c r="L20" s="27" t="s">
        <v>47</v>
      </c>
      <c r="M20" s="35">
        <f t="shared" si="0"/>
        <v>4067.62</v>
      </c>
      <c r="N20" s="35">
        <v>5000</v>
      </c>
      <c r="O20" s="35">
        <f t="shared" si="1"/>
        <v>11270.5</v>
      </c>
      <c r="P20" s="36">
        <f t="shared" si="2"/>
        <v>0.03</v>
      </c>
      <c r="Q20" s="36">
        <f t="shared" si="3"/>
        <v>0</v>
      </c>
      <c r="R20" s="36">
        <f t="shared" si="4"/>
        <v>338.12</v>
      </c>
      <c r="S20" s="37">
        <f t="shared" si="5"/>
        <v>20000</v>
      </c>
      <c r="T20" s="35">
        <f t="shared" si="6"/>
        <v>1627.05</v>
      </c>
      <c r="U20" s="35">
        <f t="shared" si="7"/>
        <v>21965.17</v>
      </c>
      <c r="V20" s="1"/>
      <c r="W20" s="1"/>
      <c r="X20" s="1"/>
      <c r="Y20" s="1"/>
    </row>
    <row r="21" ht="17.25" customHeight="1" spans="1:25" s="26" customFormat="1" x14ac:dyDescent="0.25">
      <c r="A21" s="27">
        <v>11</v>
      </c>
      <c r="B21" s="40" t="s">
        <v>61</v>
      </c>
      <c r="C21" s="29" t="s">
        <v>42</v>
      </c>
      <c r="D21" s="30" t="s">
        <v>77</v>
      </c>
      <c r="E21" s="30">
        <v>13800138445</v>
      </c>
      <c r="F21" s="31" t="s">
        <v>5</v>
      </c>
      <c r="G21" s="31" t="s">
        <v>78</v>
      </c>
      <c r="H21" s="32" t="s">
        <v>79</v>
      </c>
      <c r="I21" s="41">
        <v>64673.91</v>
      </c>
      <c r="J21" s="27" t="s">
        <v>46</v>
      </c>
      <c r="K21" s="34">
        <v>64673.91</v>
      </c>
      <c r="L21" s="27" t="s">
        <v>47</v>
      </c>
      <c r="M21" s="35">
        <f t="shared" si="0"/>
        <v>12934.78</v>
      </c>
      <c r="N21" s="35">
        <v>5000</v>
      </c>
      <c r="O21" s="35">
        <f t="shared" si="1"/>
        <v>46739.13</v>
      </c>
      <c r="P21" s="36">
        <f t="shared" si="2"/>
        <v>0.1</v>
      </c>
      <c r="Q21" s="36">
        <f t="shared" si="3"/>
        <v>2520</v>
      </c>
      <c r="R21" s="36">
        <f t="shared" si="4"/>
        <v>2153.91</v>
      </c>
      <c r="S21" s="37">
        <f t="shared" si="5"/>
        <v>62520</v>
      </c>
      <c r="T21" s="35">
        <f t="shared" si="6"/>
        <v>5173.91</v>
      </c>
      <c r="U21" s="35">
        <f t="shared" si="7"/>
        <v>69847.82</v>
      </c>
      <c r="V21" s="1"/>
      <c r="W21" s="1"/>
      <c r="X21" s="1"/>
      <c r="Y21" s="1"/>
    </row>
    <row r="22" ht="17.25" customHeight="1" spans="1:27" s="26" customFormat="1" x14ac:dyDescent="0.25">
      <c r="A22" s="27">
        <v>12</v>
      </c>
      <c r="B22" s="40" t="s">
        <v>56</v>
      </c>
      <c r="C22" s="29" t="s">
        <v>72</v>
      </c>
      <c r="D22" s="30" t="s">
        <v>80</v>
      </c>
      <c r="E22" s="42">
        <v>13800138951</v>
      </c>
      <c r="F22" s="31" t="s">
        <v>81</v>
      </c>
      <c r="G22" s="31" t="s">
        <v>82</v>
      </c>
      <c r="H22" s="32" t="s">
        <v>83</v>
      </c>
      <c r="I22" s="41">
        <v>64001.47</v>
      </c>
      <c r="J22" s="27" t="s">
        <v>46</v>
      </c>
      <c r="K22" s="34">
        <v>64001.47</v>
      </c>
      <c r="L22" s="27" t="s">
        <v>47</v>
      </c>
      <c r="M22" s="35">
        <f t="shared" si="0"/>
        <v>12800.29</v>
      </c>
      <c r="N22" s="35">
        <v>5000</v>
      </c>
      <c r="O22" s="35">
        <f t="shared" si="1"/>
        <v>46201.18</v>
      </c>
      <c r="P22" s="36">
        <f t="shared" si="2"/>
        <v>0.1</v>
      </c>
      <c r="Q22" s="36">
        <f t="shared" si="3"/>
        <v>2520</v>
      </c>
      <c r="R22" s="36">
        <f t="shared" si="4"/>
        <v>2100.12</v>
      </c>
      <c r="S22" s="37">
        <f t="shared" si="5"/>
        <v>61901.35</v>
      </c>
      <c r="T22" s="35">
        <f t="shared" si="6"/>
        <v>5120.12</v>
      </c>
      <c r="U22" s="35">
        <f t="shared" si="7"/>
        <v>69121.59</v>
      </c>
      <c r="V22" s="1"/>
      <c r="W22" s="1"/>
      <c r="X22" s="1"/>
      <c r="Y22" s="1"/>
      <c r="Z22" s="1"/>
      <c r="AA22" s="1"/>
    </row>
    <row r="23" spans="1:21" x14ac:dyDescent="0.25">
      <c r="A23" s="43" t="s">
        <v>84</v>
      </c>
      <c r="B23" s="43"/>
      <c r="C23" s="43"/>
      <c r="D23" s="43"/>
      <c r="E23" s="43"/>
      <c r="F23" s="43"/>
      <c r="G23" s="43"/>
      <c r="H23" s="43"/>
      <c r="I23" s="44">
        <f>SUM(I13:I22)</f>
        <v>259048.75</v>
      </c>
      <c r="J23" s="44"/>
      <c r="K23" s="44">
        <f>SUM(K13:K22)</f>
        <v>259048.75</v>
      </c>
      <c r="L23" s="44"/>
      <c r="M23" s="44">
        <f>SUM(M13:M22)</f>
        <v>51809.73</v>
      </c>
      <c r="N23" s="44">
        <f t="shared" ref="N23:V23" si="8">SUM(N13:N22)</f>
        <v>50000</v>
      </c>
      <c r="O23" s="44">
        <f t="shared" si="8"/>
        <v>157239.02</v>
      </c>
      <c r="P23" s="44">
        <f t="shared" si="8"/>
        <v>0.41</v>
      </c>
      <c r="Q23" s="44">
        <f t="shared" si="8"/>
        <v>5040</v>
      </c>
      <c r="R23" s="44">
        <f t="shared" si="8"/>
        <v>6197.41</v>
      </c>
      <c r="S23" s="44">
        <f t="shared" si="8"/>
        <v>252851.34</v>
      </c>
      <c r="T23" s="44">
        <f t="shared" si="8"/>
        <v>20723.9</v>
      </c>
      <c r="U23" s="44">
        <f t="shared" si="8"/>
        <v>279772.65</v>
      </c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45" t="s">
        <v>85</v>
      </c>
      <c r="K25" s="45">
        <f>ROUND(K23*5.5%,2)</f>
        <v>14247.68</v>
      </c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45" t="s">
        <v>86</v>
      </c>
      <c r="K26" s="45">
        <f>K25+K23</f>
        <v>273296.43</v>
      </c>
    </row>
    <row r="31" spans="12:12" x14ac:dyDescent="0.25">
      <c r="L31" s="1"/>
    </row>
    <row r="45" spans="3:5" x14ac:dyDescent="0.25">
      <c r="C45" s="46"/>
      <c r="D45" s="46"/>
      <c r="E45" s="46"/>
    </row>
  </sheetData>
  <mergeCells count="27">
    <mergeCell ref="C1:H1"/>
    <mergeCell ref="C2:H2"/>
    <mergeCell ref="C3:H3"/>
    <mergeCell ref="C4:H4"/>
    <mergeCell ref="C5:H5"/>
    <mergeCell ref="C6:H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U11:U12"/>
    <mergeCell ref="A23:H23"/>
  </mergeCells>
  <conditionalFormatting sqref="D13"/>
  <conditionalFormatting sqref="H13"/>
  <conditionalFormatting sqref="D14"/>
  <conditionalFormatting sqref="D15"/>
  <conditionalFormatting sqref="D16"/>
  <conditionalFormatting sqref="D17"/>
  <conditionalFormatting sqref="D18"/>
  <conditionalFormatting sqref="D19"/>
  <conditionalFormatting sqref="D20"/>
  <conditionalFormatting sqref="J20">
    <cfRule type="containsText" dxfId="17" priority="112">
      <formula>NOT(ISERROR(SEARCH("个人",J20)))</formula>
    </cfRule>
  </conditionalFormatting>
  <conditionalFormatting sqref="D21"/>
  <conditionalFormatting sqref="D22"/>
  <conditionalFormatting sqref="K22">
    <cfRule type="cellIs" dxfId="22" priority="77" operator="between">
      <formula>100000.001</formula>
      <formula>101860.001</formula>
    </cfRule>
  </conditionalFormatting>
  <conditionalFormatting sqref="J23"/>
  <conditionalFormatting sqref="L23">
    <cfRule type="cellIs" dxfId="24" priority="132" operator="between">
      <formula>100000.001</formula>
      <formula>101860.001</formula>
    </cfRule>
  </conditionalFormatting>
  <conditionalFormatting sqref="B13:B20"/>
  <conditionalFormatting sqref="B21:B22"/>
  <conditionalFormatting sqref="H14:H17"/>
  <conditionalFormatting sqref="H21:H22"/>
  <conditionalFormatting sqref="I17:I19">
    <cfRule type="cellIs" dxfId="29" priority="3" operator="between">
      <formula>100000.001</formula>
      <formula>101860.001</formula>
    </cfRule>
  </conditionalFormatting>
  <conditionalFormatting sqref="I21:I22">
    <cfRule type="cellIs" dxfId="30" priority="76" operator="between">
      <formula>100000.001</formula>
      <formula>101860.001</formula>
    </cfRule>
  </conditionalFormatting>
  <conditionalFormatting sqref="J13:J14">
    <cfRule type="containsText" dxfId="31" priority="121">
      <formula>NOT(ISERROR(SEARCH("个人",J13)))</formula>
    </cfRule>
  </conditionalFormatting>
  <conditionalFormatting sqref="J15:J19">
    <cfRule type="containsText" dxfId="32" priority="8">
      <formula>NOT(ISERROR(SEARCH("个人",J15)))</formula>
    </cfRule>
  </conditionalFormatting>
  <conditionalFormatting sqref="J21:J22">
    <cfRule type="containsText" dxfId="33" priority="78">
      <formula>NOT(ISERROR(SEARCH("个人",J21)))</formula>
    </cfRule>
  </conditionalFormatting>
  <conditionalFormatting sqref="J25:J26">
    <cfRule type="cellIs" dxfId="34" priority="1" operator="between">
      <formula>100000.001</formula>
      <formula>101860.001</formula>
    </cfRule>
  </conditionalFormatting>
  <conditionalFormatting sqref="K11:K12">
    <cfRule type="cellIs" dxfId="35" priority="137" operator="between">
      <formula>100000.001</formula>
      <formula>101860.001</formula>
    </cfRule>
  </conditionalFormatting>
  <conditionalFormatting sqref="K13:K21">
    <cfRule type="cellIs" dxfId="36" priority="117" operator="between">
      <formula>100000.001</formula>
      <formula>101860.001</formula>
    </cfRule>
  </conditionalFormatting>
  <conditionalFormatting sqref="S11:S12">
    <cfRule type="cellIs" dxfId="37" priority="134" operator="lessThan">
      <formula>0</formula>
    </cfRule>
    <cfRule type="cellIs" dxfId="38" priority="133" operator="lessThan">
      <formula>0</formula>
    </cfRule>
  </conditionalFormatting>
  <conditionalFormatting sqref="V13:V20"/>
  <conditionalFormatting sqref="I1:I8 J9 I10 I24:I1048576">
    <cfRule type="cellIs" dxfId="40" priority="139" operator="between">
      <formula>100000.001</formula>
      <formula>101860.001</formula>
    </cfRule>
  </conditionalFormatting>
  <conditionalFormatting sqref="E7:E8 D24:D1048576"/>
  <conditionalFormatting sqref="D11:D12 D23"/>
  <conditionalFormatting sqref="I13:I16 I20">
    <cfRule type="cellIs" dxfId="43" priority="127" operator="between">
      <formula>100000.001</formula>
      <formula>101860.001</formula>
    </cfRule>
  </conditionalFormatting>
  <dataValidations count="9">
    <dataValidation type="list" allowBlank="1" showInputMessage="1" showErrorMessage="1" sqref="C100:C65447">
      <formula1/>
    </dataValidation>
    <dataValidation type="list" allowBlank="1" showInputMessage="1" showErrorMessage="1" sqref="C23:C44">
      <formula1/>
    </dataValidation>
    <dataValidation type="list" allowBlank="1" showInputMessage="1" showErrorMessage="1" sqref="C46:C65447">
      <formula1/>
    </dataValidation>
    <dataValidation type="list" allowBlank="1" showInputMessage="1" showErrorMessage="1" sqref="C6:H6">
      <formula1>"专票,普票"</formula1>
    </dataValidation>
    <dataValidation showInputMessage="1" showErrorMessage="1" sqref="C8"/>
    <dataValidation type="list" allowBlank="1" showInputMessage="1" showErrorMessage="1" sqref="J100:J65447">
      <formula1/>
    </dataValidation>
    <dataValidation type="list" allowBlank="1" showInputMessage="1" promptTitle="提示" prompt="选择调整税前收入" showErrorMessage="1" sqref="J13:J22">
      <formula1>"公司承担服务费,个人承担服务费"</formula1>
    </dataValidation>
    <dataValidation type="list" allowBlank="1" showInputMessage="1" showErrorMessage="1" sqref="J24">
      <formula1/>
    </dataValidation>
    <dataValidation type="list" allowBlank="1" showInputMessage="1" showErrorMessage="1" sqref="J27:J65447">
      <formula1/>
    </dataValidation>
  </dataValidations>
  <pageMargins left="0.699305555555556" right="0.699305555555556" top="0.75" bottom="0.75" header="0.3" footer="0.3"/>
  <pageSetup paperSize="9" orientation="landscape" horizontalDpi="4294967295" verticalDpi="4294967295" scale="3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费用明细 (梧桐苑5月)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wing_sky</cp:lastModifiedBy>
  <dcterms:created xsi:type="dcterms:W3CDTF">2022-02-22T02:30:00Z</dcterms:created>
  <dcterms:modified xsi:type="dcterms:W3CDTF">2026-06-04T06:37:35Z</dcterms:modified>
</cp:coreProperties>
</file>