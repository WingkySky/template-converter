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555"/>
  </bookViews>
  <sheets>
    <sheet sheetId="2" name="云杉（个体户）" state="visible" r:id="rId4"/>
  </sheets>
  <definedNames>
    <definedName name="_xlnm._FilterDatabase">'友谊（个体户）'!$A$2:$K$17</definedName>
    <definedName name="_xlnm.Print_Area" localSheetId="0">'云杉（个体户）'!$A1:$K17</definedName>
    <definedName name="_xlnm.Print_Titles" localSheetId="0">'云杉（个体户）'!$1:$2</definedName>
  </definedNames>
  <calcPr calcId="171027"/>
</workbook>
</file>

<file path=xl/sharedStrings.xml><?xml version="1.0" encoding="utf-8"?>
<sst xmlns="http://schemas.openxmlformats.org/spreadsheetml/2006/main" count="122" uniqueCount="81">
  <si>
    <t>广州南沙云杉人才服务有限公司 6月支付明细表【支付凭证】——个体户</t>
  </si>
  <si>
    <t>品种</t>
  </si>
  <si>
    <t>序号</t>
  </si>
  <si>
    <t>开票单位</t>
  </si>
  <si>
    <t>收款人/单位</t>
  </si>
  <si>
    <t>身份证号码</t>
  </si>
  <si>
    <t>统一社会信用代码</t>
  </si>
  <si>
    <t>手机号码</t>
  </si>
  <si>
    <t>开户行</t>
  </si>
  <si>
    <t>开户地</t>
  </si>
  <si>
    <t>账号</t>
  </si>
  <si>
    <t>应发金额</t>
  </si>
  <si>
    <t>lion</t>
  </si>
  <si>
    <t>武汉市香樟劳务工作室（个体工商户）</t>
  </si>
  <si>
    <t>陈志远</t>
  </si>
  <si>
    <t>42082119860805901X</t>
  </si>
  <si>
    <t>924201176GDCK8977Y</t>
  </si>
  <si>
    <t>13800138498</t>
  </si>
  <si>
    <t>建设银行</t>
  </si>
  <si>
    <t>建设银行示例支行</t>
  </si>
  <si>
    <t>6217000000000000945</t>
  </si>
  <si>
    <t>武汉市红枫咨询商行（个体工商户）</t>
  </si>
  <si>
    <t>92420111NCYXRY9778</t>
  </si>
  <si>
    <t>13800138967</t>
  </si>
  <si>
    <t>42050100000000002174</t>
  </si>
  <si>
    <t>黄杨商贸有限公司</t>
  </si>
  <si>
    <t>91420115ULT7ME877L</t>
  </si>
  <si>
    <t>13800138321</t>
  </si>
  <si>
    <t>62050100000000003013</t>
  </si>
  <si>
    <t>溧阳市白杨科技有限公司</t>
  </si>
  <si>
    <t>91320481KECQDA8773</t>
  </si>
  <si>
    <t>13800138630</t>
  </si>
  <si>
    <t>中国银行</t>
  </si>
  <si>
    <t>中国银行示例支行</t>
  </si>
  <si>
    <t>532681003352</t>
  </si>
  <si>
    <t>青竹贸易有限公司</t>
  </si>
  <si>
    <t>91320303GPLFCK777D</t>
  </si>
  <si>
    <t>554745003519</t>
  </si>
  <si>
    <t>南京市红枫劳务中心</t>
  </si>
  <si>
    <t>92320113KN8YW5B779</t>
  </si>
  <si>
    <t>13800138337</t>
  </si>
  <si>
    <t>招商银行</t>
  </si>
  <si>
    <t>招商银行示例支行</t>
  </si>
  <si>
    <t>125912000003905</t>
  </si>
  <si>
    <t>徐州市白杨服务服务部（个体工商户）</t>
  </si>
  <si>
    <t>92320311W39AL0C77U</t>
  </si>
  <si>
    <t>13800138181</t>
  </si>
  <si>
    <t>农业银行</t>
  </si>
  <si>
    <t>农业银行示例支行</t>
  </si>
  <si>
    <t>10231400000000562</t>
  </si>
  <si>
    <t>丹阳市梧桐贸易策划部（个体工商户）</t>
  </si>
  <si>
    <t>92321181FTM7E89773</t>
  </si>
  <si>
    <t>461181006411</t>
  </si>
  <si>
    <t>新昌县白杨贸易服务部</t>
  </si>
  <si>
    <t>92330624BEXFWB9775</t>
  </si>
  <si>
    <t>33050100000000000253</t>
  </si>
  <si>
    <t>绍兴市云杉科技服务部（个体工商户）</t>
  </si>
  <si>
    <t>92330621MAD478U54</t>
  </si>
  <si>
    <t>13800138916</t>
  </si>
  <si>
    <t>工商银行</t>
  </si>
  <si>
    <t>工商银行示例支行</t>
  </si>
  <si>
    <t>1211040000000004513</t>
  </si>
  <si>
    <t>白杨服务服务部（个体工商户）</t>
  </si>
  <si>
    <t>923302031XREMEB770</t>
  </si>
  <si>
    <t>13800138490</t>
  </si>
  <si>
    <t>3901110000000009988</t>
  </si>
  <si>
    <t>白杨贸易策划部（个体工商户）</t>
  </si>
  <si>
    <t>92330602ERNAFL877G</t>
  </si>
  <si>
    <t>385787002011</t>
  </si>
  <si>
    <t>香樟科技服务部（个体工商户）</t>
  </si>
  <si>
    <t>924209841BKX409779</t>
  </si>
  <si>
    <t>13800138131</t>
  </si>
  <si>
    <t>1812010000000005305</t>
  </si>
  <si>
    <t>foxyd</t>
  </si>
  <si>
    <t>江北新区白杨科技经营部（个体工商户）</t>
  </si>
  <si>
    <t>92320191X7HYYQA77M</t>
  </si>
  <si>
    <t>13800138320</t>
  </si>
  <si>
    <t>江苏紫金农村商业银行</t>
  </si>
  <si>
    <t>江苏紫金农村商业银行红花支行</t>
  </si>
  <si>
    <t>3201140000000000000853</t>
  </si>
  <si>
    <t>罗玉梅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</si>
</sst>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, mmmm dd, yyyy"/>
    <numFmt numFmtId="165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charset val="134"/>
      <color theme="1"/>
      <sz val="10"/>
      <name val="宋体"/>
    </font>
    <font>
      <charset val="134"/>
      <color theme="1"/>
      <sz val="12"/>
      <name val="宋体"/>
    </font>
    <font>
      <b/>
      <charset val="134"/>
      <color theme="1"/>
      <sz val="10"/>
      <name val="宋体"/>
    </font>
    <font>
      <charset val="134"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6"/>
    <pageSetUpPr fitToPage="1"/>
  </sheetPr>
  <dimension ref="A1:K17"/>
  <sheetViews>
    <sheetView workbookViewId="0" zoomScale="100" zoomScaleNormal="100">
      <pane ySplit="2" topLeftCell="A7" activePane="bottomLeft" state="frozen"/>
      <selection pane="bottomLeft" activeCell="B17" sqref="B17"/>
    </sheetView>
  </sheetViews>
  <sheetFormatPr defaultRowHeight="18" outlineLevelRow="0" outlineLevelCol="0" x14ac:dyDescent="0" defaultColWidth="9" customHeight="1"/>
  <cols>
    <col min="1" max="1" width="7.70833333333333" style="1" customWidth="1"/>
    <col min="2" max="2" width="7.75" style="1" customWidth="1"/>
    <col min="3" max="3" width="25.8666666666667" style="1" customWidth="1"/>
    <col min="4" max="4" width="24.6333333333333" style="1" customWidth="1"/>
    <col min="5" max="5" width="18.25" style="1" customWidth="1"/>
    <col min="6" max="6" width="19.925" style="1" hidden="1" customWidth="1"/>
    <col min="7" max="7" width="10.375" style="1" hidden="1" customWidth="1"/>
    <col min="8" max="8" width="14" style="1" customWidth="1"/>
    <col min="9" max="9" width="30.125" style="1" customWidth="1"/>
    <col min="10" max="10" width="24.5" style="1" customWidth="1"/>
    <col min="11" max="11" width="16.375" style="1" customWidth="1"/>
    <col min="12" max="16384" width="9" style="1" customWidth="1"/>
  </cols>
  <sheetData>
    <row r="1" ht="27" customHeight="1" spans="1:1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ht="32" customHeight="1" spans="1:1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</row>
    <row r="3" ht="32" customHeight="1" spans="1:11" x14ac:dyDescent="0.25">
      <c r="A3" s="6" t="s">
        <v>12</v>
      </c>
      <c r="B3" s="7">
        <f t="shared" ref="B3:B16" si="0">ROW()-2</f>
        <v>1</v>
      </c>
      <c r="C3" s="8" t="s">
        <v>13</v>
      </c>
      <c r="D3" s="8" t="s">
        <v>14</v>
      </c>
      <c r="E3" s="8" t="s">
        <v>15</v>
      </c>
      <c r="F3" s="8" t="s">
        <v>16</v>
      </c>
      <c r="G3" s="9" t="s">
        <v>17</v>
      </c>
      <c r="H3" s="9" t="s">
        <v>18</v>
      </c>
      <c r="I3" s="10" t="s">
        <v>19</v>
      </c>
      <c r="J3" s="9" t="s">
        <v>20</v>
      </c>
      <c r="K3" s="11">
        <v>81300</v>
      </c>
    </row>
    <row r="4" ht="32" customHeight="1" spans="1:11" x14ac:dyDescent="0.25">
      <c r="A4" s="6" t="s">
        <v>12</v>
      </c>
      <c r="B4" s="7">
        <f t="shared" si="0"/>
        <v>2</v>
      </c>
      <c r="C4" s="8" t="s">
        <v>21</v>
      </c>
      <c r="D4" s="8" t="s">
        <v>21</v>
      </c>
      <c r="E4" s="8"/>
      <c r="F4" s="8" t="s">
        <v>22</v>
      </c>
      <c r="G4" s="9" t="s">
        <v>23</v>
      </c>
      <c r="H4" s="9" t="s">
        <v>18</v>
      </c>
      <c r="I4" s="10" t="s">
        <v>19</v>
      </c>
      <c r="J4" s="9" t="s">
        <v>24</v>
      </c>
      <c r="K4" s="11">
        <v>63800</v>
      </c>
    </row>
    <row r="5" ht="32" customHeight="1" spans="1:11" x14ac:dyDescent="0.25">
      <c r="A5" s="6" t="s">
        <v>12</v>
      </c>
      <c r="B5" s="7">
        <f t="shared" si="0"/>
        <v>3</v>
      </c>
      <c r="C5" s="8" t="s">
        <v>25</v>
      </c>
      <c r="D5" s="8" t="s">
        <v>25</v>
      </c>
      <c r="E5" s="8"/>
      <c r="F5" s="8" t="s">
        <v>26</v>
      </c>
      <c r="G5" s="9" t="s">
        <v>27</v>
      </c>
      <c r="H5" s="9" t="s">
        <v>18</v>
      </c>
      <c r="I5" s="10" t="s">
        <v>19</v>
      </c>
      <c r="J5" s="9" t="s">
        <v>28</v>
      </c>
      <c r="K5" s="11">
        <v>19300</v>
      </c>
    </row>
    <row r="6" ht="32" customHeight="1" spans="1:11" x14ac:dyDescent="0.25">
      <c r="A6" s="6" t="s">
        <v>12</v>
      </c>
      <c r="B6" s="7">
        <f t="shared" si="0"/>
        <v>4</v>
      </c>
      <c r="C6" s="8" t="s">
        <v>29</v>
      </c>
      <c r="D6" s="8" t="s">
        <v>29</v>
      </c>
      <c r="E6" s="8"/>
      <c r="F6" s="8" t="s">
        <v>30</v>
      </c>
      <c r="G6" s="9" t="s">
        <v>31</v>
      </c>
      <c r="H6" s="9" t="s">
        <v>32</v>
      </c>
      <c r="I6" s="10" t="s">
        <v>33</v>
      </c>
      <c r="J6" s="9" t="s">
        <v>34</v>
      </c>
      <c r="K6" s="11">
        <v>42000</v>
      </c>
    </row>
    <row r="7" ht="32" customHeight="1" spans="1:11" x14ac:dyDescent="0.25">
      <c r="A7" s="6" t="s">
        <v>12</v>
      </c>
      <c r="B7" s="7">
        <f t="shared" si="0"/>
        <v>5</v>
      </c>
      <c r="C7" s="8" t="s">
        <v>35</v>
      </c>
      <c r="D7" s="8" t="s">
        <v>35</v>
      </c>
      <c r="E7" s="8"/>
      <c r="F7" s="8" t="s">
        <v>36</v>
      </c>
      <c r="G7" s="9">
        <v>0</v>
      </c>
      <c r="H7" s="9" t="s">
        <v>32</v>
      </c>
      <c r="I7" s="10" t="s">
        <v>33</v>
      </c>
      <c r="J7" s="9" t="s">
        <v>37</v>
      </c>
      <c r="K7" s="11">
        <v>34200</v>
      </c>
    </row>
    <row r="8" ht="32" customHeight="1" spans="1:11" x14ac:dyDescent="0.25">
      <c r="A8" s="6" t="s">
        <v>12</v>
      </c>
      <c r="B8" s="7">
        <f t="shared" si="0"/>
        <v>6</v>
      </c>
      <c r="C8" s="8" t="s">
        <v>38</v>
      </c>
      <c r="D8" s="8" t="s">
        <v>38</v>
      </c>
      <c r="E8" s="8"/>
      <c r="F8" s="8" t="s">
        <v>39</v>
      </c>
      <c r="G8" s="9" t="s">
        <v>40</v>
      </c>
      <c r="H8" s="9" t="s">
        <v>41</v>
      </c>
      <c r="I8" s="10" t="s">
        <v>42</v>
      </c>
      <c r="J8" s="9" t="s">
        <v>43</v>
      </c>
      <c r="K8" s="11">
        <v>12600</v>
      </c>
    </row>
    <row r="9" ht="32" customHeight="1" spans="1:11" x14ac:dyDescent="0.25">
      <c r="A9" s="6" t="s">
        <v>12</v>
      </c>
      <c r="B9" s="7">
        <f t="shared" si="0"/>
        <v>7</v>
      </c>
      <c r="C9" s="8" t="s">
        <v>44</v>
      </c>
      <c r="D9" s="8" t="s">
        <v>44</v>
      </c>
      <c r="E9" s="8"/>
      <c r="F9" s="8" t="s">
        <v>45</v>
      </c>
      <c r="G9" s="9" t="s">
        <v>46</v>
      </c>
      <c r="H9" s="9" t="s">
        <v>47</v>
      </c>
      <c r="I9" s="10" t="s">
        <v>48</v>
      </c>
      <c r="J9" s="9" t="s">
        <v>49</v>
      </c>
      <c r="K9" s="11">
        <v>83800</v>
      </c>
    </row>
    <row r="10" ht="32" customHeight="1" spans="1:11" x14ac:dyDescent="0.25">
      <c r="A10" s="6" t="s">
        <v>12</v>
      </c>
      <c r="B10" s="7">
        <f t="shared" si="0"/>
        <v>8</v>
      </c>
      <c r="C10" s="8" t="s">
        <v>50</v>
      </c>
      <c r="D10" s="8" t="s">
        <v>50</v>
      </c>
      <c r="E10" s="8"/>
      <c r="F10" s="8" t="s">
        <v>51</v>
      </c>
      <c r="G10" s="9">
        <v>0</v>
      </c>
      <c r="H10" s="9" t="s">
        <v>32</v>
      </c>
      <c r="I10" s="10" t="s">
        <v>33</v>
      </c>
      <c r="J10" s="9" t="s">
        <v>52</v>
      </c>
      <c r="K10" s="11">
        <v>15400</v>
      </c>
    </row>
    <row r="11" ht="32" customHeight="1" spans="1:11" x14ac:dyDescent="0.25">
      <c r="A11" s="6" t="s">
        <v>12</v>
      </c>
      <c r="B11" s="7">
        <f t="shared" si="0"/>
        <v>9</v>
      </c>
      <c r="C11" s="8" t="s">
        <v>53</v>
      </c>
      <c r="D11" s="8" t="s">
        <v>53</v>
      </c>
      <c r="E11" s="8"/>
      <c r="F11" s="8" t="s">
        <v>54</v>
      </c>
      <c r="G11" s="9">
        <v>0</v>
      </c>
      <c r="H11" s="9" t="s">
        <v>18</v>
      </c>
      <c r="I11" s="10" t="s">
        <v>19</v>
      </c>
      <c r="J11" s="9" t="s">
        <v>55</v>
      </c>
      <c r="K11" s="11">
        <v>16900</v>
      </c>
    </row>
    <row r="12" ht="32" customHeight="1" spans="1:11" x14ac:dyDescent="0.25">
      <c r="A12" s="6" t="s">
        <v>12</v>
      </c>
      <c r="B12" s="7">
        <f t="shared" si="0"/>
        <v>10</v>
      </c>
      <c r="C12" s="8" t="s">
        <v>56</v>
      </c>
      <c r="D12" s="8" t="s">
        <v>56</v>
      </c>
      <c r="E12" s="8"/>
      <c r="F12" s="8" t="s">
        <v>57</v>
      </c>
      <c r="G12" s="9" t="s">
        <v>58</v>
      </c>
      <c r="H12" s="9" t="s">
        <v>59</v>
      </c>
      <c r="I12" s="10" t="s">
        <v>60</v>
      </c>
      <c r="J12" s="9" t="s">
        <v>61</v>
      </c>
      <c r="K12" s="11">
        <v>9500</v>
      </c>
    </row>
    <row r="13" ht="32" customHeight="1" spans="1:11" s="1" customFormat="1" x14ac:dyDescent="0.25">
      <c r="A13" s="6" t="s">
        <v>12</v>
      </c>
      <c r="B13" s="7">
        <f t="shared" si="0"/>
        <v>11</v>
      </c>
      <c r="C13" s="8" t="s">
        <v>62</v>
      </c>
      <c r="D13" s="8" t="s">
        <v>62</v>
      </c>
      <c r="E13" s="8"/>
      <c r="F13" s="8" t="s">
        <v>63</v>
      </c>
      <c r="G13" s="9" t="s">
        <v>64</v>
      </c>
      <c r="H13" s="9" t="s">
        <v>59</v>
      </c>
      <c r="I13" s="10" t="s">
        <v>60</v>
      </c>
      <c r="J13" s="9" t="s">
        <v>65</v>
      </c>
      <c r="K13" s="11">
        <v>14300</v>
      </c>
    </row>
    <row r="14" ht="32" customHeight="1" spans="1:11" x14ac:dyDescent="0.25">
      <c r="A14" s="6" t="s">
        <v>12</v>
      </c>
      <c r="B14" s="7">
        <f t="shared" si="0"/>
        <v>12</v>
      </c>
      <c r="C14" s="8" t="s">
        <v>66</v>
      </c>
      <c r="D14" s="8" t="s">
        <v>66</v>
      </c>
      <c r="E14" s="8"/>
      <c r="F14" s="8" t="s">
        <v>67</v>
      </c>
      <c r="G14" s="9">
        <v>0</v>
      </c>
      <c r="H14" s="9" t="s">
        <v>32</v>
      </c>
      <c r="I14" s="10" t="s">
        <v>33</v>
      </c>
      <c r="J14" s="9" t="s">
        <v>68</v>
      </c>
      <c r="K14" s="11">
        <v>70800</v>
      </c>
    </row>
    <row r="15" ht="32" customHeight="1" spans="1:11" x14ac:dyDescent="0.25">
      <c r="A15" s="6" t="s">
        <v>12</v>
      </c>
      <c r="B15" s="7">
        <f t="shared" si="0"/>
        <v>13</v>
      </c>
      <c r="C15" s="8" t="s">
        <v>69</v>
      </c>
      <c r="D15" s="8" t="s">
        <v>69</v>
      </c>
      <c r="E15" s="6"/>
      <c r="F15" s="8" t="s">
        <v>70</v>
      </c>
      <c r="G15" s="8" t="s">
        <v>71</v>
      </c>
      <c r="H15" s="9" t="s">
        <v>59</v>
      </c>
      <c r="I15" s="9" t="s">
        <v>60</v>
      </c>
      <c r="J15" s="10" t="s">
        <v>72</v>
      </c>
      <c r="K15" s="12">
        <v>10400</v>
      </c>
    </row>
    <row r="16" ht="32" customHeight="1" spans="1:11" x14ac:dyDescent="0.25">
      <c r="A16" s="6" t="s">
        <v>73</v>
      </c>
      <c r="B16" s="7">
        <f t="shared" si="0"/>
        <v>14</v>
      </c>
      <c r="C16" s="8" t="s">
        <v>74</v>
      </c>
      <c r="D16" s="8" t="s">
        <v>74</v>
      </c>
      <c r="E16" s="6"/>
      <c r="F16" s="8" t="s">
        <v>75</v>
      </c>
      <c r="G16" s="8" t="s">
        <v>76</v>
      </c>
      <c r="H16" s="9" t="s">
        <v>77</v>
      </c>
      <c r="I16" s="9" t="s">
        <v>78</v>
      </c>
      <c r="J16" s="10" t="s">
        <v>79</v>
      </c>
      <c r="K16" s="12">
        <v>27200</v>
      </c>
    </row>
    <row r="17" ht="32" customHeight="1" spans="1:11" x14ac:dyDescent="0.25">
      <c r="A17" s="6"/>
      <c r="B17" s="13" t="s">
        <v>80</v>
      </c>
      <c r="C17" s="13"/>
      <c r="D17" s="13"/>
      <c r="E17" s="13"/>
      <c r="F17" s="13"/>
      <c r="G17" s="13"/>
      <c r="H17" s="13"/>
      <c r="I17" s="13"/>
      <c r="J17" s="13"/>
      <c r="K17" s="14">
        <f>SUM(K3:K16)</f>
        <v>501500</v>
      </c>
    </row>
  </sheetData>
  <autoFilter ref="A2:K17"/>
  <mergeCells count="2">
    <mergeCell ref="B1:K1"/>
    <mergeCell ref="B17:J17"/>
  </mergeCells>
  <conditionalFormatting sqref="E3"/>
  <conditionalFormatting sqref="C2:C16"/>
  <conditionalFormatting sqref="C3:C16"/>
  <conditionalFormatting sqref="D15:D16"/>
  <conditionalFormatting sqref="K3:K14">
    <cfRule type="cellIs" dxfId="6" priority="7" operator="between">
      <formula>100000.001</formula>
      <formula>101860.001</formula>
    </cfRule>
  </conditionalFormatting>
  <conditionalFormatting sqref="E2:F2 F3 E4:F14 F15:G16"/>
  <conditionalFormatting sqref="K2 K17">
    <cfRule type="cellIs" dxfId="8" priority="11" operator="between">
      <formula>100000.001</formula>
      <formula>101860.001</formula>
    </cfRule>
  </conditionalFormatting>
  <conditionalFormatting sqref="F3 E4:F14 F15:G16"/>
  <conditionalFormatting sqref="J3:J14 K15:K16"/>
  <printOptions horizontalCentered="1"/>
  <pageMargins left="0.393055555555556" right="0.393055555555556" top="0.393055555555556" bottom="0.314583333333333" header="0.5" footer="0.5"/>
  <pageSetup paperSize="9" orientation="landscape" horizontalDpi="600" verticalDpi="4294967295" scale="76" fitToWidth="1" fitToHeight="0" firstPageNumber="1" useFirstPageNumber="1" copies="1"/>
  <headerFooter>
    <oddHeader>&amp;R第 &amp;P 页，共 &amp;N 页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云杉（个体户）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WPS_1602318937</cp:lastModifiedBy>
  <dcterms:created xsi:type="dcterms:W3CDTF">2026-06-17T08:06:00Z</dcterms:created>
  <dcterms:modified xsi:type="dcterms:W3CDTF">2026-06-23T08:19:06Z</dcterms:modified>
</cp:coreProperties>
</file>